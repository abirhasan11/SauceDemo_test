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TestCases" sheetId="2" state="visible" r:id="rId4"/>
    <sheet name="Coverag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<sst xmlns="http://schemas.openxmlformats.org/spreadsheetml/2006/main" count="411" uniqueCount="242">
  <si>
    <t xml:space="preserve">Swag Labs (SauceDemo) — Requirements Traceability Matrix</t>
  </si>
  <si>
    <t xml:space="preserve">Manual Test Design | Application under test: https://www.saucedemo.com</t>
  </si>
  <si>
    <t xml:space="preserve">Requirement ID</t>
  </si>
  <si>
    <t xml:space="preserve">Feature</t>
  </si>
  <si>
    <t xml:space="preserve">Requirement Statement</t>
  </si>
  <si>
    <t xml:space="preserve">Test Scenario ID(s)</t>
  </si>
  <si>
    <t xml:space="preserve">Test Case ID(s)</t>
  </si>
  <si>
    <t xml:space="preserve">Test Level</t>
  </si>
  <si>
    <t xml:space="preserve">REQ-01</t>
  </si>
  <si>
    <t xml:space="preserve">Authentication</t>
  </si>
  <si>
    <t xml:space="preserve">The system shall allow a registered user to log in with a valid username and password, and shall reject invalid, empty or locked-out credentials with a clear error message without granting access.</t>
  </si>
  <si>
    <t xml:space="preserve">TS-01, TS-02, TS-03</t>
  </si>
  <si>
    <t xml:space="preserve">TC-01, TC-02, TC-03, TC-04, TC-05, TC-06</t>
  </si>
  <si>
    <t xml:space="preserve">System</t>
  </si>
  <si>
    <t xml:space="preserve">REQ-02</t>
  </si>
  <si>
    <t xml:space="preserve">Session &amp; Access Control</t>
  </si>
  <si>
    <t xml:space="preserve">The system shall not allow any inventory, cart or checkout page to be opened without an authenticated session, and shall end the session when the user logs out.</t>
  </si>
  <si>
    <t xml:space="preserve">TS-04</t>
  </si>
  <si>
    <t xml:space="preserve">TC-07, TC-08</t>
  </si>
  <si>
    <t xml:space="preserve">REQ-03</t>
  </si>
  <si>
    <t xml:space="preserve">Product Browsing &amp; Sorting</t>
  </si>
  <si>
    <t xml:space="preserve">The system shall display every product with its correct name, description, price and image, and shall let the user sort the list by name (A-Z, Z-A) and price (low-high, high-low).</t>
  </si>
  <si>
    <t xml:space="preserve">TS-05, TS-06</t>
  </si>
  <si>
    <t xml:space="preserve">TC-09, TC-10, TC-11, TC-12, TC-13, TC-14</t>
  </si>
  <si>
    <t xml:space="preserve">REQ-04</t>
  </si>
  <si>
    <t xml:space="preserve">Cart Management</t>
  </si>
  <si>
    <t xml:space="preserve">The system shall let the user add and remove products, keep the cart badge count accurate, and keep cart contents while the user navigates between pages.</t>
  </si>
  <si>
    <t xml:space="preserve">TS-07, TS-08</t>
  </si>
  <si>
    <t xml:space="preserve">TC-15, TC-16, TC-17, TC-18, TC-19</t>
  </si>
  <si>
    <t xml:space="preserve">REQ-05</t>
  </si>
  <si>
    <t xml:space="preserve">Checkout</t>
  </si>
  <si>
    <t xml:space="preserve">The system shall collect first name, last name and postal code before an order can proceed, validate missing fields, show a correct item total, tax and grand total, and confirm a completed order.</t>
  </si>
  <si>
    <t xml:space="preserve">TS-09, TS-10</t>
  </si>
  <si>
    <t xml:space="preserve">TC-20, TC-21, TC-22, TC-23, TC-24, TC-25, TC-26, TC-27</t>
  </si>
  <si>
    <t xml:space="preserve">REQ-06</t>
  </si>
  <si>
    <t xml:space="preserve">Menu, Logout &amp; Reset</t>
  </si>
  <si>
    <t xml:space="preserve">The system shall provide a menu that allows the user to log out and to reset the application state (clearing the cart).</t>
  </si>
  <si>
    <t xml:space="preserve">TS-11</t>
  </si>
  <si>
    <t xml:space="preserve">TC-28, TC-29</t>
  </si>
  <si>
    <t xml:space="preserve">Test Scenarios &amp; Detailed Test Cases</t>
  </si>
  <si>
    <t xml:space="preserve">Manual Testing Project | https://www.saucedemo.com | Standard users: standard_user, locked_out_user, problem_user (password: secret_sauce)</t>
  </si>
  <si>
    <t xml:space="preserve">Step A — High-Level Test Scenarios</t>
  </si>
  <si>
    <t xml:space="preserve">Scenario ID</t>
  </si>
  <si>
    <t xml:space="preserve">Linked REQ</t>
  </si>
  <si>
    <t xml:space="preserve">Test Scenario Description</t>
  </si>
  <si>
    <t xml:space="preserve">TS-01</t>
  </si>
  <si>
    <t xml:space="preserve">Verify a user with valid credentials can log in and reach the product page.</t>
  </si>
  <si>
    <t xml:space="preserve">TS-02</t>
  </si>
  <si>
    <t xml:space="preserve">Verify wrong, empty or differently-cased credentials are rejected with the correct error.</t>
  </si>
  <si>
    <t xml:space="preserve">TS-03</t>
  </si>
  <si>
    <t xml:space="preserve">Verify a locked-out user cannot log in and sees the lock-out message.</t>
  </si>
  <si>
    <t xml:space="preserve">Verify protected pages cannot be reached without logging in, including after logout.</t>
  </si>
  <si>
    <t xml:space="preserve">TS-05</t>
  </si>
  <si>
    <t xml:space="preserve">Verify the product list and product detail page show complete and correct information.</t>
  </si>
  <si>
    <t xml:space="preserve">TS-06</t>
  </si>
  <si>
    <t xml:space="preserve">Verify every sort option orders the products correctly.</t>
  </si>
  <si>
    <t xml:space="preserve">TS-07</t>
  </si>
  <si>
    <t xml:space="preserve">Verify items can be added and removed and the cart badge stays accurate.</t>
  </si>
  <si>
    <t xml:space="preserve">TS-08</t>
  </si>
  <si>
    <t xml:space="preserve">Verify cart contents are kept when the user navigates or refreshes.</t>
  </si>
  <si>
    <t xml:space="preserve">TS-09</t>
  </si>
  <si>
    <t xml:space="preserve">Verify checkout validates missing and unusual input and blocks an empty-cart checkout.</t>
  </si>
  <si>
    <t xml:space="preserve">TS-10</t>
  </si>
  <si>
    <t xml:space="preserve">Verify the order summary calculates totals correctly and a purchase can be completed.</t>
  </si>
  <si>
    <t xml:space="preserve">Verify logout and Reset App State behave as expected from the menu.</t>
  </si>
  <si>
    <t xml:space="preserve">Step B — Detailed Test Cases</t>
  </si>
  <si>
    <t xml:space="preserve">ID</t>
  </si>
  <si>
    <t xml:space="preserve">Title</t>
  </si>
  <si>
    <t xml:space="preserve">REQ</t>
  </si>
  <si>
    <t xml:space="preserve">Scenario</t>
  </si>
  <si>
    <t xml:space="preserve">Type</t>
  </si>
  <si>
    <t xml:space="preserve">Priority</t>
  </si>
  <si>
    <t xml:space="preserve">Preconditions</t>
  </si>
  <si>
    <t xml:space="preserve">Test Data</t>
  </si>
  <si>
    <t xml:space="preserve">Steps</t>
  </si>
  <si>
    <t xml:space="preserve">Expected Result</t>
  </si>
  <si>
    <t xml:space="preserve">TC-01</t>
  </si>
  <si>
    <t xml:space="preserve">Login with valid credentials</t>
  </si>
  <si>
    <t xml:space="preserve">Positive</t>
  </si>
  <si>
    <t xml:space="preserve">High</t>
  </si>
  <si>
    <t xml:space="preserve">Browser open on https://www.saucedemo.com (login page); no user logged in.</t>
  </si>
  <si>
    <t xml:space="preserve">standard_user / secret_sauce</t>
  </si>
  <si>
    <t xml:space="preserve">1. Enter the username.
2. Enter the password.
3. Click Login.</t>
  </si>
  <si>
    <t xml:space="preserve">User lands on the Products page (/inventory.html), the 'Products' heading and 6 items are shown.</t>
  </si>
  <si>
    <t xml:space="preserve">TC-02</t>
  </si>
  <si>
    <t xml:space="preserve">Login with a wrong password</t>
  </si>
  <si>
    <t xml:space="preserve">Negative</t>
  </si>
  <si>
    <t xml:space="preserve">standard_user / wrong_pass</t>
  </si>
  <si>
    <t xml:space="preserve">1. Enter the username.
2. Enter the wrong password.
3. Click Login.</t>
  </si>
  <si>
    <t xml:space="preserve">Login is refused, user stays on the login page, fields are highlighted and the message 'Epic sadface: Username and password do not match any user in this service' is displayed.</t>
  </si>
  <si>
    <t xml:space="preserve">TC-03</t>
  </si>
  <si>
    <t xml:space="preserve">Login with an empty username</t>
  </si>
  <si>
    <t xml:space="preserve">Medium</t>
  </si>
  <si>
    <t xml:space="preserve">Username: (blank) | Password: secret_sauce</t>
  </si>
  <si>
    <t xml:space="preserve">1. Leave the username empty.
2. Enter the password.
3. Click Login.</t>
  </si>
  <si>
    <t xml:space="preserve">Login is refused with the message 'Epic sadface: Username is required'.</t>
  </si>
  <si>
    <t xml:space="preserve">TC-04</t>
  </si>
  <si>
    <t xml:space="preserve">Login with an empty password</t>
  </si>
  <si>
    <t xml:space="preserve">Username: standard_user | Password: (blank)</t>
  </si>
  <si>
    <t xml:space="preserve">1. Enter the username.
2. Leave the password empty.
3. Click Login.</t>
  </si>
  <si>
    <t xml:space="preserve">Login is refused with the message 'Epic sadface: Password is required'.</t>
  </si>
  <si>
    <t xml:space="preserve">TC-05</t>
  </si>
  <si>
    <t xml:space="preserve">Login as the locked-out user</t>
  </si>
  <si>
    <t xml:space="preserve">locked_out_user / secret_sauce</t>
  </si>
  <si>
    <t xml:space="preserve">Login is refused with the message 'Epic sadface: Sorry, this user has been locked out.'</t>
  </si>
  <si>
    <t xml:space="preserve">TC-06</t>
  </si>
  <si>
    <t xml:space="preserve">Username is case sensitive</t>
  </si>
  <si>
    <t xml:space="preserve">Boundary</t>
  </si>
  <si>
    <t xml:space="preserve">Low</t>
  </si>
  <si>
    <t xml:space="preserve">Standard_User / secret_sauce</t>
  </si>
  <si>
    <t xml:space="preserve">1. Enter the username with capital letters.
2. Enter the password.
3. Click Login.</t>
  </si>
  <si>
    <t xml:space="preserve">Login is refused with the 'Username and password do not match any user in this service' message.</t>
  </si>
  <si>
    <t xml:space="preserve">TC-07</t>
  </si>
  <si>
    <t xml:space="preserve">Open a protected page without logging in</t>
  </si>
  <si>
    <t xml:space="preserve">Fresh browser session; user has never logged in.</t>
  </si>
  <si>
    <t xml:space="preserve">URL: https://www.saucedemo.com/inventory.html</t>
  </si>
  <si>
    <t xml:space="preserve">1. Paste the inventory URL into the address bar.
2. Press Enter.</t>
  </si>
  <si>
    <t xml:space="preserve">User is sent to the login page and sees: "Epic sadface: You can only access '/inventory.html' when you are logged in."</t>
  </si>
  <si>
    <t xml:space="preserve">TC-08</t>
  </si>
  <si>
    <t xml:space="preserve">Back button after logout does not reveal protected pages</t>
  </si>
  <si>
    <t xml:space="preserve">Logged in as standard_user; on the Products page; cart is empty.</t>
  </si>
  <si>
    <t xml:space="preserve">1. Open the menu and click Logout.
2. Click the browser Back button.</t>
  </si>
  <si>
    <t xml:space="preserve">Protected product content is not displayed; user remains on the login page or is returned to it.</t>
  </si>
  <si>
    <t xml:space="preserve">TC-09</t>
  </si>
  <si>
    <t xml:space="preserve">Product list shows complete information</t>
  </si>
  <si>
    <t xml:space="preserve">1. Review the Products page.
2. Check every product card.</t>
  </si>
  <si>
    <t xml:space="preserve">6 products are listed; each shows an image, name, description, price and an 'Add to cart' button.</t>
  </si>
  <si>
    <t xml:space="preserve">TC-10</t>
  </si>
  <si>
    <t xml:space="preserve">Product images match product names (problem_user)</t>
  </si>
  <si>
    <t xml:space="preserve">problem_user / secret_sauce</t>
  </si>
  <si>
    <t xml:space="preserve">1. Log in as problem_user.
2. Compare each product image with its name and description.</t>
  </si>
  <si>
    <t xml:space="preserve">Every product shows its own correct image.</t>
  </si>
  <si>
    <t xml:space="preserve">TC-11</t>
  </si>
  <si>
    <t xml:space="preserve">Sort by Price (low to high)</t>
  </si>
  <si>
    <t xml:space="preserve">Sort option: Price (low to high)</t>
  </si>
  <si>
    <t xml:space="preserve">1. Open the sort drop-down.
2. Select 'Price (low to high)'.</t>
  </si>
  <si>
    <t xml:space="preserve">Products are ordered $7.99, $9.99, $15.99, $15.99, $29.99, $49.99.</t>
  </si>
  <si>
    <t xml:space="preserve">TC-12</t>
  </si>
  <si>
    <t xml:space="preserve">Sort by Name (Z to A)</t>
  </si>
  <si>
    <t xml:space="preserve">Sort option: Name (Z to A)</t>
  </si>
  <si>
    <t xml:space="preserve">1. Open the sort drop-down.
2. Select 'Name (Z to A)'.</t>
  </si>
  <si>
    <t xml:space="preserve">Order: Test.allTheThings() T-Shirt (Red), Sauce Labs Onesie, Sauce Labs Fleece Jacket, Sauce Labs Bolt T-Shirt, Sauce Labs Bike Light, Sauce Labs Backpack.</t>
  </si>
  <si>
    <t xml:space="preserve">TC-13</t>
  </si>
  <si>
    <t xml:space="preserve">Sorting works for problem_user</t>
  </si>
  <si>
    <t xml:space="preserve">problem_user / secret_sauce | Sort option: Price (low to high)</t>
  </si>
  <si>
    <t xml:space="preserve">1. Log in as problem_user.
2. Select 'Price (low to high)'.</t>
  </si>
  <si>
    <t xml:space="preserve">Products are re-ordered from lowest to highest price, same as TC-11.</t>
  </si>
  <si>
    <t xml:space="preserve">TC-14</t>
  </si>
  <si>
    <t xml:space="preserve">Open a product detail page and return</t>
  </si>
  <si>
    <t xml:space="preserve">Product: Sauce Labs Backpack</t>
  </si>
  <si>
    <t xml:space="preserve">1. Click the product name.
2. Review the detail page.
3. Click 'Back to products'.</t>
  </si>
  <si>
    <t xml:space="preserve">Detail page shows the correct name, description, price, image and 'Add to cart'; Back returns to the Products page.</t>
  </si>
  <si>
    <t xml:space="preserve">TC-15</t>
  </si>
  <si>
    <t xml:space="preserve">Add a single item to the cart</t>
  </si>
  <si>
    <t xml:space="preserve">1. Click 'Add to cart' on the product.
2. Look at the cart icon and the button.</t>
  </si>
  <si>
    <t xml:space="preserve">Cart badge shows 1 and the button changes to 'Remove'.</t>
  </si>
  <si>
    <t xml:space="preserve">TC-16</t>
  </si>
  <si>
    <t xml:space="preserve">Add several items and remove one</t>
  </si>
  <si>
    <t xml:space="preserve">Products: Backpack, Bike Light, Bolt T-Shirt</t>
  </si>
  <si>
    <t xml:space="preserve">1. Add the three products.
2. Note the badge.
3. Click 'Remove' on the Bike Light.</t>
  </si>
  <si>
    <t xml:space="preserve">Badge shows 3 after adding, then 2 after the removal.</t>
  </si>
  <si>
    <t xml:space="preserve">TC-17</t>
  </si>
  <si>
    <t xml:space="preserve">Cart contents persist across navigation and refresh</t>
  </si>
  <si>
    <t xml:space="preserve">1. Add the product.
2. Open the cart.
3. Click 'Continue Shopping'.
4. Open the cart again.
5. Refresh the page.</t>
  </si>
  <si>
    <t xml:space="preserve">The product is still in the cart and the badge still shows 1 after navigation and refresh.</t>
  </si>
  <si>
    <t xml:space="preserve">TC-18</t>
  </si>
  <si>
    <t xml:space="preserve">Remove an item from the cart page</t>
  </si>
  <si>
    <t xml:space="preserve">Logged in as standard_user; cart contains the items listed in Test Data.</t>
  </si>
  <si>
    <t xml:space="preserve">Cart: Backpack, Bike Light</t>
  </si>
  <si>
    <t xml:space="preserve">1. Open the cart.
2. Click 'Remove' on the Bike Light.</t>
  </si>
  <si>
    <t xml:space="preserve">Bike Light disappears from the list and the badge shows 1.</t>
  </si>
  <si>
    <t xml:space="preserve">TC-19</t>
  </si>
  <si>
    <t xml:space="preserve">Remove button works on the Products page (problem_user)</t>
  </si>
  <si>
    <t xml:space="preserve">problem_user / secret_sauce | Product: Sauce Labs Backpack</t>
  </si>
  <si>
    <t xml:space="preserve">1. Log in as problem_user.
2. Click 'Add to cart' on the Backpack.
3. Click 'Remove' on the same product.</t>
  </si>
  <si>
    <t xml:space="preserve">The item is removed, the button returns to 'Add to cart' and the badge disappears.</t>
  </si>
  <si>
    <t xml:space="preserve">TC-20</t>
  </si>
  <si>
    <t xml:space="preserve">Checkout with an empty cart</t>
  </si>
  <si>
    <t xml:space="preserve">Cart: empty</t>
  </si>
  <si>
    <t xml:space="preserve">1. Open the cart.
2. Click 'Checkout'.</t>
  </si>
  <si>
    <t xml:space="preserve">Checkout is blocked, or the user is clearly told the cart is empty; an empty order cannot be placed.</t>
  </si>
  <si>
    <t xml:space="preserve">TC-21</t>
  </si>
  <si>
    <t xml:space="preserve">Checkout with first name missing</t>
  </si>
  <si>
    <t xml:space="preserve">Cart: Backpack | First: (blank) | Last: Rahman | Postal: 2200</t>
  </si>
  <si>
    <t xml:space="preserve">1. Open the cart and click Checkout.
2. Leave First Name empty and fill the other fields.
3. Click Continue.</t>
  </si>
  <si>
    <t xml:space="preserve">User stays on the form and sees 'Error: First Name is required'.</t>
  </si>
  <si>
    <t xml:space="preserve">TC-22</t>
  </si>
  <si>
    <t xml:space="preserve">Checkout with last name missing</t>
  </si>
  <si>
    <t xml:space="preserve">Cart: Backpack | First: Nabil | Last: (blank) | Postal: 2200</t>
  </si>
  <si>
    <t xml:space="preserve">1. Open the cart and click Checkout.
2. Leave Last Name empty and fill the other fields.
3. Click Continue.</t>
  </si>
  <si>
    <t xml:space="preserve">User stays on the form and sees 'Error: Last Name is required'.</t>
  </si>
  <si>
    <t xml:space="preserve">TC-23</t>
  </si>
  <si>
    <t xml:space="preserve">Checkout with postal code missing</t>
  </si>
  <si>
    <t xml:space="preserve">Cart: Backpack | First: Nabil | Last: Rahman | Postal: (blank)</t>
  </si>
  <si>
    <t xml:space="preserve">1. Open the cart and click Checkout.
2. Leave Postal Code empty and fill the other fields.
3. Click Continue.</t>
  </si>
  <si>
    <t xml:space="preserve">User stays on the form and sees 'Error: Postal Code is required'.</t>
  </si>
  <si>
    <t xml:space="preserve">TC-24</t>
  </si>
  <si>
    <t xml:space="preserve">Postal code with very long and special-character input</t>
  </si>
  <si>
    <t xml:space="preserve">Cart: Backpack | First: Nabil | Last: Rahman | Postal: 250 characters of '9' and, separately, '@#$%^&amp;*'</t>
  </si>
  <si>
    <t xml:space="preserve">1. Open the cart and click Checkout.
2. Enter the long value in Postal Code and click Continue.
3. Repeat with the special-character value.</t>
  </si>
  <si>
    <t xml:space="preserve">No crash and no broken layout; the input is either rejected with a clear message or accepted consistently.</t>
  </si>
  <si>
    <t xml:space="preserve">TC-25</t>
  </si>
  <si>
    <t xml:space="preserve">Order total is calculated correctly</t>
  </si>
  <si>
    <t xml:space="preserve">Cart: Backpack ($29.99) + Bike Light ($9.99) | First: Nabil | Last: Rahman | Postal: 2200</t>
  </si>
  <si>
    <t xml:space="preserve">1. Open the cart and click Checkout.
2. Fill the form and click Continue.
3. Read the overview.</t>
  </si>
  <si>
    <t xml:space="preserve">Item total $39.98, tax $3.20 (8%), total $43.18.</t>
  </si>
  <si>
    <t xml:space="preserve">TC-26</t>
  </si>
  <si>
    <t xml:space="preserve">Complete a purchase end to end</t>
  </si>
  <si>
    <t xml:space="preserve">Cart: Backpack | First: Nabil | Last: Rahman | Postal: 2200</t>
  </si>
  <si>
    <t xml:space="preserve">1. Open the cart and click Checkout.
2. Fill the form and click Continue.
3. Click Finish.</t>
  </si>
  <si>
    <t xml:space="preserve">'Thank you for your order!' page is shown and the cart is emptied (no badge).</t>
  </si>
  <si>
    <t xml:space="preserve">TC-27</t>
  </si>
  <si>
    <t xml:space="preserve">Cancel from checkout returns to the cart</t>
  </si>
  <si>
    <t xml:space="preserve">Cart: Backpack</t>
  </si>
  <si>
    <t xml:space="preserve">1. Open the cart and click Checkout.
2. Click 'Cancel'.</t>
  </si>
  <si>
    <t xml:space="preserve">User returns to the cart with the item still present.</t>
  </si>
  <si>
    <t xml:space="preserve">TC-28</t>
  </si>
  <si>
    <t xml:space="preserve">Logout from the menu</t>
  </si>
  <si>
    <t xml:space="preserve">1. Click the menu (burger) icon.
2. Click 'Logout'.</t>
  </si>
  <si>
    <t xml:space="preserve">User is returned to the login page and the username/password fields are empty.</t>
  </si>
  <si>
    <t xml:space="preserve">TC-29</t>
  </si>
  <si>
    <t xml:space="preserve">Reset App State clears the cart</t>
  </si>
  <si>
    <t xml:space="preserve">1. Click the menu icon.
2. Click 'Reset App State'.
3. Check the cart badge and the product buttons.</t>
  </si>
  <si>
    <t xml:space="preserve">Cart is emptied, the badge disappears and every button reads 'Add to cart'.</t>
  </si>
  <si>
    <t xml:space="preserve">Test Design Coverage Summary</t>
  </si>
  <si>
    <t xml:space="preserve">Calculated automatically from the TestCases and RTM tabs.</t>
  </si>
  <si>
    <t xml:space="preserve">Overview</t>
  </si>
  <si>
    <t xml:space="preserve">Metric</t>
  </si>
  <si>
    <t xml:space="preserve">Count</t>
  </si>
  <si>
    <t xml:space="preserve">Requirements</t>
  </si>
  <si>
    <t xml:space="preserve">Test scenarios</t>
  </si>
  <si>
    <t xml:space="preserve">Detailed test cases</t>
  </si>
  <si>
    <t xml:space="preserve">Test Cases per Requirement</t>
  </si>
  <si>
    <t xml:space="preserve">Requirement</t>
  </si>
  <si>
    <t xml:space="preserve">Total</t>
  </si>
  <si>
    <t xml:space="preserve">REQ-01 — Authentication</t>
  </si>
  <si>
    <t xml:space="preserve">REQ-02 — Session &amp; Access Control</t>
  </si>
  <si>
    <t xml:space="preserve">REQ-03 — Product Browsing &amp; Sorting</t>
  </si>
  <si>
    <t xml:space="preserve">REQ-04 — Cart Management</t>
  </si>
  <si>
    <t xml:space="preserve">REQ-05 — Checkout</t>
  </si>
  <si>
    <t xml:space="preserve">REQ-06 — Menu, Logout &amp; Reset</t>
  </si>
  <si>
    <t xml:space="preserve">Test Cases by Priority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</si>
</sst>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Test cases per requirement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Coverage!$A$12:$A$17</c:f>
              <c:strCache>
                <c:ptCount val="6"/>
                <c:pt idx="0">
                  <c:v>REQ-01 — Authentication</c:v>
                </c:pt>
                <c:pt idx="1">
                  <c:v>REQ-02 — Session &amp; Access Control</c:v>
                </c:pt>
                <c:pt idx="2">
                  <c:v>REQ-03 — Product Browsing &amp; Sorting</c:v>
                </c:pt>
                <c:pt idx="3">
                  <c:v>REQ-04 — Cart Management</c:v>
                </c:pt>
                <c:pt idx="4">
                  <c:v>REQ-05 — Checkout</c:v>
                </c:pt>
                <c:pt idx="5">
                  <c:v>REQ-06 — Menu, Logout &amp; Reset</c:v>
                </c:pt>
              </c:strCache>
            </c:strRef>
          </c:cat>
          <c:val>
            <c:numRef>
              <c:f>Coverage!$B$12:$B$17</c:f>
              <c:numCache>
                <c:formatCode>General</c:formatCode>
                <c:ptCount val="6"/>
                <c:pt idx="0">
                  <c:v>6</c:v>
                </c:pt>
                <c:pt idx="1">
                  <c:v>2</c:v>
                </c:pt>
                <c:pt idx="2">
                  <c:v>6</c:v>
                </c:pt>
                <c:pt idx="3">
                  <c:v>5</c:v>
                </c:pt>
                <c:pt idx="4">
                  <c:v>8</c:v>
                </c:pt>
                <c:pt idx="5">
                  <c:v>2</c:v>
                </c:pt>
              </c:numCache>
            </c:numRef>
          </c:val>
        </c:ser>
        <c:gapWidth val="150"/>
        <c:overlap val="0"/>
        <c:axId val="46871476"/>
        <c:axId val="82964484"/>
      </c:barChart>
      <c:catAx>
        <c:axId val="468714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964484"/>
        <c:crosses val="autoZero"/>
        <c:auto val="1"/>
        <c:lblAlgn val="ctr"/>
        <c:lblOffset val="100"/>
        <c:noMultiLvlLbl val="0"/>
      </c:catAx>
      <c:valAx>
        <c:axId val="829644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Test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714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147600</xdr:colOff>
      <xdr:row>15</xdr:row>
      <xdr:rowOff>32760</xdr:rowOff>
    </xdr:to>
    <xdr:graphicFrame>
      <xdr:nvGraphicFramePr>
        <xdr:cNvPr id="0" name="Chart 1"/>
        <xdr:cNvGraphicFramePr/>
      </xdr:nvGraphicFramePr>
      <xdr:xfrm>
        <a:off x="6532200" y="66672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22"/>
    <col collapsed="false" customWidth="true" hidden="false" outlineLevel="0" max="5" min="5" style="0" width="38"/>
    <col collapsed="false" customWidth="true" hidden="false" outlineLevel="0" max="6" min="6" style="0" width="11"/>
    <col collapsed="false" customWidth="true" hidden="false" outlineLevel="0" max="7" min="7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79.5" hidden="false" customHeight="true" outlineLevel="0" collapsed="false">
      <c r="A5" s="4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4" t="s">
        <v>13</v>
      </c>
    </row>
    <row r="6" customFormat="false" ht="79.5" hidden="false" customHeight="true" outlineLevel="0" collapsed="false">
      <c r="A6" s="4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4" t="s">
        <v>13</v>
      </c>
    </row>
    <row r="7" customFormat="false" ht="79.5" hidden="false" customHeight="true" outlineLevel="0" collapsed="false">
      <c r="A7" s="4" t="s">
        <v>19</v>
      </c>
      <c r="B7" s="5" t="s">
        <v>20</v>
      </c>
      <c r="C7" s="5" t="s">
        <v>21</v>
      </c>
      <c r="D7" s="5" t="s">
        <v>22</v>
      </c>
      <c r="E7" s="5" t="s">
        <v>23</v>
      </c>
      <c r="F7" s="4" t="s">
        <v>13</v>
      </c>
    </row>
    <row r="8" customFormat="false" ht="79.5" hidden="false" customHeight="true" outlineLevel="0" collapsed="false">
      <c r="A8" s="4" t="s">
        <v>24</v>
      </c>
      <c r="B8" s="5" t="s">
        <v>25</v>
      </c>
      <c r="C8" s="5" t="s">
        <v>26</v>
      </c>
      <c r="D8" s="5" t="s">
        <v>27</v>
      </c>
      <c r="E8" s="5" t="s">
        <v>28</v>
      </c>
      <c r="F8" s="4" t="s">
        <v>13</v>
      </c>
    </row>
    <row r="9" customFormat="false" ht="79.5" hidden="false" customHeight="true" outlineLevel="0" collapsed="false">
      <c r="A9" s="4" t="s">
        <v>29</v>
      </c>
      <c r="B9" s="5" t="s">
        <v>30</v>
      </c>
      <c r="C9" s="5" t="s">
        <v>31</v>
      </c>
      <c r="D9" s="5" t="s">
        <v>32</v>
      </c>
      <c r="E9" s="5" t="s">
        <v>33</v>
      </c>
      <c r="F9" s="4" t="s">
        <v>13</v>
      </c>
    </row>
    <row r="10" customFormat="false" ht="79.5" hidden="false" customHeight="true" outlineLevel="0" collapsed="false">
      <c r="A10" s="4" t="s">
        <v>34</v>
      </c>
      <c r="B10" s="5" t="s">
        <v>35</v>
      </c>
      <c r="C10" s="5" t="s">
        <v>36</v>
      </c>
      <c r="D10" s="5" t="s">
        <v>37</v>
      </c>
      <c r="E10" s="5" t="s">
        <v>38</v>
      </c>
      <c r="F10" s="4" t="s">
        <v>13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0" topLeftCell="C21" activePane="bottomRight" state="frozen"/>
      <selection pane="topLeft" activeCell="A1" activeCellId="0" sqref="A1"/>
      <selection pane="topRight" activeCell="C1" activeCellId="0" sqref="C1"/>
      <selection pane="bottomLeft" activeCell="A21" activeCellId="0" sqref="A2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7" style="0" width="28"/>
    <col collapsed="false" customWidth="true" hidden="false" outlineLevel="0" max="10" min="9" style="0" width="38"/>
    <col collapsed="false" customWidth="true" hidden="false" outlineLevel="0" max="11" min="11" style="0" width="28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40"/>
  </cols>
  <sheetData>
    <row r="1" customFormat="false" ht="21.7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A4" s="6" t="s">
        <v>41</v>
      </c>
      <c r="B4" s="6"/>
      <c r="C4" s="6"/>
      <c r="D4" s="6"/>
      <c r="E4" s="6"/>
      <c r="F4" s="6"/>
      <c r="G4" s="6"/>
      <c r="H4" s="6"/>
      <c r="I4" s="6"/>
      <c r="J4" s="6"/>
    </row>
    <row r="6" customFormat="false" ht="25.5" hidden="false" customHeight="true" outlineLevel="0" collapsed="false">
      <c r="A6" s="3" t="s">
        <v>42</v>
      </c>
      <c r="B6" s="3" t="s">
        <v>43</v>
      </c>
      <c r="C6" s="3" t="s">
        <v>44</v>
      </c>
      <c r="D6" s="3"/>
      <c r="E6" s="3"/>
      <c r="F6" s="3"/>
      <c r="G6" s="3"/>
      <c r="H6" s="3"/>
      <c r="I6" s="3"/>
      <c r="J6" s="3"/>
    </row>
    <row r="7" customFormat="false" ht="21.75" hidden="false" customHeight="true" outlineLevel="0" collapsed="false">
      <c r="A7" s="4" t="s">
        <v>45</v>
      </c>
      <c r="B7" s="4" t="s">
        <v>8</v>
      </c>
      <c r="C7" s="5" t="s">
        <v>46</v>
      </c>
      <c r="D7" s="5"/>
      <c r="E7" s="5"/>
      <c r="F7" s="5"/>
      <c r="G7" s="5"/>
      <c r="H7" s="5"/>
      <c r="I7" s="5"/>
      <c r="J7" s="5"/>
    </row>
    <row r="8" customFormat="false" ht="21.75" hidden="false" customHeight="true" outlineLevel="0" collapsed="false">
      <c r="A8" s="4" t="s">
        <v>47</v>
      </c>
      <c r="B8" s="4" t="s">
        <v>8</v>
      </c>
      <c r="C8" s="5" t="s">
        <v>48</v>
      </c>
      <c r="D8" s="5"/>
      <c r="E8" s="5"/>
      <c r="F8" s="5"/>
      <c r="G8" s="5"/>
      <c r="H8" s="5"/>
      <c r="I8" s="5"/>
      <c r="J8" s="5"/>
    </row>
    <row r="9" customFormat="false" ht="21.75" hidden="false" customHeight="true" outlineLevel="0" collapsed="false">
      <c r="A9" s="4" t="s">
        <v>49</v>
      </c>
      <c r="B9" s="4" t="s">
        <v>8</v>
      </c>
      <c r="C9" s="5" t="s">
        <v>50</v>
      </c>
      <c r="D9" s="5"/>
      <c r="E9" s="5"/>
      <c r="F9" s="5"/>
      <c r="G9" s="5"/>
      <c r="H9" s="5"/>
      <c r="I9" s="5"/>
      <c r="J9" s="5"/>
    </row>
    <row r="10" customFormat="false" ht="21.75" hidden="false" customHeight="true" outlineLevel="0" collapsed="false">
      <c r="A10" s="4" t="s">
        <v>17</v>
      </c>
      <c r="B10" s="4" t="s">
        <v>14</v>
      </c>
      <c r="C10" s="5" t="s">
        <v>51</v>
      </c>
      <c r="D10" s="5"/>
      <c r="E10" s="5"/>
      <c r="F10" s="5"/>
      <c r="G10" s="5"/>
      <c r="H10" s="5"/>
      <c r="I10" s="5"/>
      <c r="J10" s="5"/>
    </row>
    <row r="11" customFormat="false" ht="21.75" hidden="false" customHeight="true" outlineLevel="0" collapsed="false">
      <c r="A11" s="4" t="s">
        <v>52</v>
      </c>
      <c r="B11" s="4" t="s">
        <v>19</v>
      </c>
      <c r="C11" s="5" t="s">
        <v>53</v>
      </c>
      <c r="D11" s="5"/>
      <c r="E11" s="5"/>
      <c r="F11" s="5"/>
      <c r="G11" s="5"/>
      <c r="H11" s="5"/>
      <c r="I11" s="5"/>
      <c r="J11" s="5"/>
    </row>
    <row r="12" customFormat="false" ht="21.75" hidden="false" customHeight="true" outlineLevel="0" collapsed="false">
      <c r="A12" s="4" t="s">
        <v>54</v>
      </c>
      <c r="B12" s="4" t="s">
        <v>19</v>
      </c>
      <c r="C12" s="5" t="s">
        <v>55</v>
      </c>
      <c r="D12" s="5"/>
      <c r="E12" s="5"/>
      <c r="F12" s="5"/>
      <c r="G12" s="5"/>
      <c r="H12" s="5"/>
      <c r="I12" s="5"/>
      <c r="J12" s="5"/>
    </row>
    <row r="13" customFormat="false" ht="21.75" hidden="false" customHeight="true" outlineLevel="0" collapsed="false">
      <c r="A13" s="4" t="s">
        <v>56</v>
      </c>
      <c r="B13" s="4" t="s">
        <v>24</v>
      </c>
      <c r="C13" s="5" t="s">
        <v>57</v>
      </c>
      <c r="D13" s="5"/>
      <c r="E13" s="5"/>
      <c r="F13" s="5"/>
      <c r="G13" s="5"/>
      <c r="H13" s="5"/>
      <c r="I13" s="5"/>
      <c r="J13" s="5"/>
    </row>
    <row r="14" customFormat="false" ht="21.75" hidden="false" customHeight="true" outlineLevel="0" collapsed="false">
      <c r="A14" s="4" t="s">
        <v>58</v>
      </c>
      <c r="B14" s="4" t="s">
        <v>24</v>
      </c>
      <c r="C14" s="5" t="s">
        <v>59</v>
      </c>
      <c r="D14" s="5"/>
      <c r="E14" s="5"/>
      <c r="F14" s="5"/>
      <c r="G14" s="5"/>
      <c r="H14" s="5"/>
      <c r="I14" s="5"/>
      <c r="J14" s="5"/>
    </row>
    <row r="15" customFormat="false" ht="21.75" hidden="false" customHeight="true" outlineLevel="0" collapsed="false">
      <c r="A15" s="4" t="s">
        <v>60</v>
      </c>
      <c r="B15" s="4" t="s">
        <v>29</v>
      </c>
      <c r="C15" s="5" t="s">
        <v>61</v>
      </c>
      <c r="D15" s="5"/>
      <c r="E15" s="5"/>
      <c r="F15" s="5"/>
      <c r="G15" s="5"/>
      <c r="H15" s="5"/>
      <c r="I15" s="5"/>
      <c r="J15" s="5"/>
    </row>
    <row r="16" customFormat="false" ht="21.75" hidden="false" customHeight="true" outlineLevel="0" collapsed="false">
      <c r="A16" s="4" t="s">
        <v>62</v>
      </c>
      <c r="B16" s="4" t="s">
        <v>29</v>
      </c>
      <c r="C16" s="5" t="s">
        <v>63</v>
      </c>
      <c r="D16" s="5"/>
      <c r="E16" s="5"/>
      <c r="F16" s="5"/>
      <c r="G16" s="5"/>
      <c r="H16" s="5"/>
      <c r="I16" s="5"/>
      <c r="J16" s="5"/>
    </row>
    <row r="17" customFormat="false" ht="21.75" hidden="false" customHeight="true" outlineLevel="0" collapsed="false">
      <c r="A17" s="4" t="s">
        <v>37</v>
      </c>
      <c r="B17" s="4" t="s">
        <v>34</v>
      </c>
      <c r="C17" s="5" t="s">
        <v>64</v>
      </c>
      <c r="D17" s="5"/>
      <c r="E17" s="5"/>
      <c r="F17" s="5"/>
      <c r="G17" s="5"/>
      <c r="H17" s="5"/>
      <c r="I17" s="5"/>
      <c r="J17" s="5"/>
    </row>
    <row r="19" customFormat="false" ht="19.5" hidden="false" customHeight="true" outlineLevel="0" collapsed="false">
      <c r="A19" s="6" t="s">
        <v>65</v>
      </c>
      <c r="B19" s="6"/>
      <c r="C19" s="6"/>
      <c r="D19" s="6"/>
      <c r="E19" s="6"/>
      <c r="F19" s="6"/>
      <c r="G19" s="6"/>
      <c r="H19" s="6"/>
      <c r="I19" s="6"/>
      <c r="J19" s="6"/>
    </row>
    <row r="20" customFormat="false" ht="25.5" hidden="false" customHeight="true" outlineLevel="0" collapsed="false">
      <c r="A20" s="3" t="s">
        <v>66</v>
      </c>
      <c r="B20" s="3" t="s">
        <v>67</v>
      </c>
      <c r="C20" s="3" t="s">
        <v>68</v>
      </c>
      <c r="D20" s="3" t="s">
        <v>69</v>
      </c>
      <c r="E20" s="3" t="s">
        <v>70</v>
      </c>
      <c r="F20" s="3" t="s">
        <v>71</v>
      </c>
      <c r="G20" s="3" t="s">
        <v>72</v>
      </c>
      <c r="H20" s="3" t="s">
        <v>73</v>
      </c>
      <c r="I20" s="3" t="s">
        <v>74</v>
      </c>
      <c r="J20" s="3" t="s">
        <v>75</v>
      </c>
    </row>
    <row r="21" customFormat="false" ht="105" hidden="false" customHeight="true" outlineLevel="0" collapsed="false">
      <c r="A21" s="4" t="s">
        <v>76</v>
      </c>
      <c r="B21" s="5" t="s">
        <v>77</v>
      </c>
      <c r="C21" s="4" t="s">
        <v>8</v>
      </c>
      <c r="D21" s="4" t="s">
        <v>45</v>
      </c>
      <c r="E21" s="4" t="s">
        <v>78</v>
      </c>
      <c r="F21" s="4" t="s">
        <v>79</v>
      </c>
      <c r="G21" s="5" t="s">
        <v>80</v>
      </c>
      <c r="H21" s="5" t="s">
        <v>81</v>
      </c>
      <c r="I21" s="5" t="s">
        <v>82</v>
      </c>
      <c r="J21" s="5" t="s">
        <v>83</v>
      </c>
    </row>
    <row r="22" customFormat="false" ht="105" hidden="false" customHeight="true" outlineLevel="0" collapsed="false">
      <c r="A22" s="4" t="s">
        <v>84</v>
      </c>
      <c r="B22" s="5" t="s">
        <v>85</v>
      </c>
      <c r="C22" s="4" t="s">
        <v>8</v>
      </c>
      <c r="D22" s="4" t="s">
        <v>47</v>
      </c>
      <c r="E22" s="4" t="s">
        <v>86</v>
      </c>
      <c r="F22" s="4" t="s">
        <v>79</v>
      </c>
      <c r="G22" s="5" t="s">
        <v>80</v>
      </c>
      <c r="H22" s="5" t="s">
        <v>87</v>
      </c>
      <c r="I22" s="5" t="s">
        <v>88</v>
      </c>
      <c r="J22" s="5" t="s">
        <v>89</v>
      </c>
    </row>
    <row r="23" customFormat="false" ht="105" hidden="false" customHeight="true" outlineLevel="0" collapsed="false">
      <c r="A23" s="4" t="s">
        <v>90</v>
      </c>
      <c r="B23" s="5" t="s">
        <v>91</v>
      </c>
      <c r="C23" s="4" t="s">
        <v>8</v>
      </c>
      <c r="D23" s="4" t="s">
        <v>47</v>
      </c>
      <c r="E23" s="4" t="s">
        <v>86</v>
      </c>
      <c r="F23" s="4" t="s">
        <v>92</v>
      </c>
      <c r="G23" s="5" t="s">
        <v>80</v>
      </c>
      <c r="H23" s="5" t="s">
        <v>93</v>
      </c>
      <c r="I23" s="5" t="s">
        <v>94</v>
      </c>
      <c r="J23" s="5" t="s">
        <v>95</v>
      </c>
    </row>
    <row r="24" customFormat="false" ht="105" hidden="false" customHeight="true" outlineLevel="0" collapsed="false">
      <c r="A24" s="4" t="s">
        <v>96</v>
      </c>
      <c r="B24" s="5" t="s">
        <v>97</v>
      </c>
      <c r="C24" s="4" t="s">
        <v>8</v>
      </c>
      <c r="D24" s="4" t="s">
        <v>47</v>
      </c>
      <c r="E24" s="4" t="s">
        <v>86</v>
      </c>
      <c r="F24" s="4" t="s">
        <v>92</v>
      </c>
      <c r="G24" s="5" t="s">
        <v>80</v>
      </c>
      <c r="H24" s="5" t="s">
        <v>98</v>
      </c>
      <c r="I24" s="5" t="s">
        <v>99</v>
      </c>
      <c r="J24" s="5" t="s">
        <v>100</v>
      </c>
    </row>
    <row r="25" customFormat="false" ht="105" hidden="false" customHeight="true" outlineLevel="0" collapsed="false">
      <c r="A25" s="4" t="s">
        <v>101</v>
      </c>
      <c r="B25" s="5" t="s">
        <v>102</v>
      </c>
      <c r="C25" s="4" t="s">
        <v>8</v>
      </c>
      <c r="D25" s="4" t="s">
        <v>49</v>
      </c>
      <c r="E25" s="4" t="s">
        <v>86</v>
      </c>
      <c r="F25" s="4" t="s">
        <v>79</v>
      </c>
      <c r="G25" s="5" t="s">
        <v>80</v>
      </c>
      <c r="H25" s="5" t="s">
        <v>103</v>
      </c>
      <c r="I25" s="5" t="s">
        <v>82</v>
      </c>
      <c r="J25" s="5" t="s">
        <v>104</v>
      </c>
    </row>
    <row r="26" customFormat="false" ht="105" hidden="false" customHeight="true" outlineLevel="0" collapsed="false">
      <c r="A26" s="4" t="s">
        <v>105</v>
      </c>
      <c r="B26" s="5" t="s">
        <v>106</v>
      </c>
      <c r="C26" s="4" t="s">
        <v>8</v>
      </c>
      <c r="D26" s="4" t="s">
        <v>47</v>
      </c>
      <c r="E26" s="4" t="s">
        <v>107</v>
      </c>
      <c r="F26" s="4" t="s">
        <v>108</v>
      </c>
      <c r="G26" s="5" t="s">
        <v>80</v>
      </c>
      <c r="H26" s="5" t="s">
        <v>109</v>
      </c>
      <c r="I26" s="5" t="s">
        <v>110</v>
      </c>
      <c r="J26" s="5" t="s">
        <v>111</v>
      </c>
    </row>
    <row r="27" customFormat="false" ht="105" hidden="false" customHeight="true" outlineLevel="0" collapsed="false">
      <c r="A27" s="4" t="s">
        <v>112</v>
      </c>
      <c r="B27" s="5" t="s">
        <v>113</v>
      </c>
      <c r="C27" s="4" t="s">
        <v>14</v>
      </c>
      <c r="D27" s="4" t="s">
        <v>17</v>
      </c>
      <c r="E27" s="4" t="s">
        <v>86</v>
      </c>
      <c r="F27" s="4" t="s">
        <v>79</v>
      </c>
      <c r="G27" s="5" t="s">
        <v>114</v>
      </c>
      <c r="H27" s="5" t="s">
        <v>115</v>
      </c>
      <c r="I27" s="5" t="s">
        <v>116</v>
      </c>
      <c r="J27" s="5" t="s">
        <v>117</v>
      </c>
    </row>
    <row r="28" customFormat="false" ht="105" hidden="false" customHeight="true" outlineLevel="0" collapsed="false">
      <c r="A28" s="4" t="s">
        <v>118</v>
      </c>
      <c r="B28" s="5" t="s">
        <v>119</v>
      </c>
      <c r="C28" s="4" t="s">
        <v>14</v>
      </c>
      <c r="D28" s="4" t="s">
        <v>17</v>
      </c>
      <c r="E28" s="4" t="s">
        <v>86</v>
      </c>
      <c r="F28" s="4" t="s">
        <v>92</v>
      </c>
      <c r="G28" s="5" t="s">
        <v>120</v>
      </c>
      <c r="H28" s="5" t="s">
        <v>81</v>
      </c>
      <c r="I28" s="5" t="s">
        <v>121</v>
      </c>
      <c r="J28" s="5" t="s">
        <v>122</v>
      </c>
    </row>
    <row r="29" customFormat="false" ht="105" hidden="false" customHeight="true" outlineLevel="0" collapsed="false">
      <c r="A29" s="4" t="s">
        <v>123</v>
      </c>
      <c r="B29" s="5" t="s">
        <v>124</v>
      </c>
      <c r="C29" s="4" t="s">
        <v>19</v>
      </c>
      <c r="D29" s="4" t="s">
        <v>52</v>
      </c>
      <c r="E29" s="4" t="s">
        <v>78</v>
      </c>
      <c r="F29" s="4" t="s">
        <v>79</v>
      </c>
      <c r="G29" s="5" t="s">
        <v>120</v>
      </c>
      <c r="H29" s="5" t="s">
        <v>81</v>
      </c>
      <c r="I29" s="5" t="s">
        <v>125</v>
      </c>
      <c r="J29" s="5" t="s">
        <v>126</v>
      </c>
    </row>
    <row r="30" customFormat="false" ht="105" hidden="false" customHeight="true" outlineLevel="0" collapsed="false">
      <c r="A30" s="4" t="s">
        <v>127</v>
      </c>
      <c r="B30" s="5" t="s">
        <v>128</v>
      </c>
      <c r="C30" s="4" t="s">
        <v>19</v>
      </c>
      <c r="D30" s="4" t="s">
        <v>52</v>
      </c>
      <c r="E30" s="4" t="s">
        <v>78</v>
      </c>
      <c r="F30" s="4" t="s">
        <v>92</v>
      </c>
      <c r="G30" s="5" t="s">
        <v>80</v>
      </c>
      <c r="H30" s="5" t="s">
        <v>129</v>
      </c>
      <c r="I30" s="5" t="s">
        <v>130</v>
      </c>
      <c r="J30" s="5" t="s">
        <v>131</v>
      </c>
    </row>
    <row r="31" customFormat="false" ht="105" hidden="false" customHeight="true" outlineLevel="0" collapsed="false">
      <c r="A31" s="4" t="s">
        <v>132</v>
      </c>
      <c r="B31" s="5" t="s">
        <v>133</v>
      </c>
      <c r="C31" s="4" t="s">
        <v>19</v>
      </c>
      <c r="D31" s="4" t="s">
        <v>54</v>
      </c>
      <c r="E31" s="4" t="s">
        <v>78</v>
      </c>
      <c r="F31" s="4" t="s">
        <v>79</v>
      </c>
      <c r="G31" s="5" t="s">
        <v>120</v>
      </c>
      <c r="H31" s="5" t="s">
        <v>134</v>
      </c>
      <c r="I31" s="5" t="s">
        <v>135</v>
      </c>
      <c r="J31" s="5" t="s">
        <v>136</v>
      </c>
    </row>
    <row r="32" customFormat="false" ht="105" hidden="false" customHeight="true" outlineLevel="0" collapsed="false">
      <c r="A32" s="4" t="s">
        <v>137</v>
      </c>
      <c r="B32" s="5" t="s">
        <v>138</v>
      </c>
      <c r="C32" s="4" t="s">
        <v>19</v>
      </c>
      <c r="D32" s="4" t="s">
        <v>54</v>
      </c>
      <c r="E32" s="4" t="s">
        <v>78</v>
      </c>
      <c r="F32" s="4" t="s">
        <v>92</v>
      </c>
      <c r="G32" s="5" t="s">
        <v>120</v>
      </c>
      <c r="H32" s="5" t="s">
        <v>139</v>
      </c>
      <c r="I32" s="5" t="s">
        <v>140</v>
      </c>
      <c r="J32" s="5" t="s">
        <v>141</v>
      </c>
    </row>
    <row r="33" customFormat="false" ht="105" hidden="false" customHeight="true" outlineLevel="0" collapsed="false">
      <c r="A33" s="4" t="s">
        <v>142</v>
      </c>
      <c r="B33" s="5" t="s">
        <v>143</v>
      </c>
      <c r="C33" s="4" t="s">
        <v>19</v>
      </c>
      <c r="D33" s="4" t="s">
        <v>54</v>
      </c>
      <c r="E33" s="4" t="s">
        <v>78</v>
      </c>
      <c r="F33" s="4" t="s">
        <v>92</v>
      </c>
      <c r="G33" s="5" t="s">
        <v>80</v>
      </c>
      <c r="H33" s="5" t="s">
        <v>144</v>
      </c>
      <c r="I33" s="5" t="s">
        <v>145</v>
      </c>
      <c r="J33" s="5" t="s">
        <v>146</v>
      </c>
    </row>
    <row r="34" customFormat="false" ht="105" hidden="false" customHeight="true" outlineLevel="0" collapsed="false">
      <c r="A34" s="4" t="s">
        <v>147</v>
      </c>
      <c r="B34" s="5" t="s">
        <v>148</v>
      </c>
      <c r="C34" s="4" t="s">
        <v>19</v>
      </c>
      <c r="D34" s="4" t="s">
        <v>52</v>
      </c>
      <c r="E34" s="4" t="s">
        <v>78</v>
      </c>
      <c r="F34" s="4" t="s">
        <v>92</v>
      </c>
      <c r="G34" s="5" t="s">
        <v>120</v>
      </c>
      <c r="H34" s="5" t="s">
        <v>149</v>
      </c>
      <c r="I34" s="5" t="s">
        <v>150</v>
      </c>
      <c r="J34" s="5" t="s">
        <v>151</v>
      </c>
    </row>
    <row r="35" customFormat="false" ht="105" hidden="false" customHeight="true" outlineLevel="0" collapsed="false">
      <c r="A35" s="4" t="s">
        <v>152</v>
      </c>
      <c r="B35" s="5" t="s">
        <v>153</v>
      </c>
      <c r="C35" s="4" t="s">
        <v>24</v>
      </c>
      <c r="D35" s="4" t="s">
        <v>56</v>
      </c>
      <c r="E35" s="4" t="s">
        <v>78</v>
      </c>
      <c r="F35" s="4" t="s">
        <v>79</v>
      </c>
      <c r="G35" s="5" t="s">
        <v>120</v>
      </c>
      <c r="H35" s="5" t="s">
        <v>149</v>
      </c>
      <c r="I35" s="5" t="s">
        <v>154</v>
      </c>
      <c r="J35" s="5" t="s">
        <v>155</v>
      </c>
    </row>
    <row r="36" customFormat="false" ht="105" hidden="false" customHeight="true" outlineLevel="0" collapsed="false">
      <c r="A36" s="4" t="s">
        <v>156</v>
      </c>
      <c r="B36" s="5" t="s">
        <v>157</v>
      </c>
      <c r="C36" s="4" t="s">
        <v>24</v>
      </c>
      <c r="D36" s="4" t="s">
        <v>56</v>
      </c>
      <c r="E36" s="4" t="s">
        <v>78</v>
      </c>
      <c r="F36" s="4" t="s">
        <v>92</v>
      </c>
      <c r="G36" s="5" t="s">
        <v>120</v>
      </c>
      <c r="H36" s="5" t="s">
        <v>158</v>
      </c>
      <c r="I36" s="5" t="s">
        <v>159</v>
      </c>
      <c r="J36" s="5" t="s">
        <v>160</v>
      </c>
    </row>
    <row r="37" customFormat="false" ht="105" hidden="false" customHeight="true" outlineLevel="0" collapsed="false">
      <c r="A37" s="4" t="s">
        <v>161</v>
      </c>
      <c r="B37" s="5" t="s">
        <v>162</v>
      </c>
      <c r="C37" s="4" t="s">
        <v>24</v>
      </c>
      <c r="D37" s="4" t="s">
        <v>58</v>
      </c>
      <c r="E37" s="4" t="s">
        <v>78</v>
      </c>
      <c r="F37" s="4" t="s">
        <v>92</v>
      </c>
      <c r="G37" s="5" t="s">
        <v>120</v>
      </c>
      <c r="H37" s="5" t="s">
        <v>149</v>
      </c>
      <c r="I37" s="5" t="s">
        <v>163</v>
      </c>
      <c r="J37" s="5" t="s">
        <v>164</v>
      </c>
    </row>
    <row r="38" customFormat="false" ht="105" hidden="false" customHeight="true" outlineLevel="0" collapsed="false">
      <c r="A38" s="4" t="s">
        <v>165</v>
      </c>
      <c r="B38" s="5" t="s">
        <v>166</v>
      </c>
      <c r="C38" s="4" t="s">
        <v>24</v>
      </c>
      <c r="D38" s="4" t="s">
        <v>56</v>
      </c>
      <c r="E38" s="4" t="s">
        <v>78</v>
      </c>
      <c r="F38" s="4" t="s">
        <v>92</v>
      </c>
      <c r="G38" s="5" t="s">
        <v>167</v>
      </c>
      <c r="H38" s="5" t="s">
        <v>168</v>
      </c>
      <c r="I38" s="5" t="s">
        <v>169</v>
      </c>
      <c r="J38" s="5" t="s">
        <v>170</v>
      </c>
    </row>
    <row r="39" customFormat="false" ht="105" hidden="false" customHeight="true" outlineLevel="0" collapsed="false">
      <c r="A39" s="4" t="s">
        <v>171</v>
      </c>
      <c r="B39" s="5" t="s">
        <v>172</v>
      </c>
      <c r="C39" s="4" t="s">
        <v>24</v>
      </c>
      <c r="D39" s="4" t="s">
        <v>56</v>
      </c>
      <c r="E39" s="4" t="s">
        <v>78</v>
      </c>
      <c r="F39" s="4" t="s">
        <v>92</v>
      </c>
      <c r="G39" s="5" t="s">
        <v>80</v>
      </c>
      <c r="H39" s="5" t="s">
        <v>173</v>
      </c>
      <c r="I39" s="5" t="s">
        <v>174</v>
      </c>
      <c r="J39" s="5" t="s">
        <v>175</v>
      </c>
    </row>
    <row r="40" customFormat="false" ht="105" hidden="false" customHeight="true" outlineLevel="0" collapsed="false">
      <c r="A40" s="4" t="s">
        <v>176</v>
      </c>
      <c r="B40" s="5" t="s">
        <v>177</v>
      </c>
      <c r="C40" s="4" t="s">
        <v>29</v>
      </c>
      <c r="D40" s="4" t="s">
        <v>60</v>
      </c>
      <c r="E40" s="4" t="s">
        <v>86</v>
      </c>
      <c r="F40" s="4" t="s">
        <v>79</v>
      </c>
      <c r="G40" s="5" t="s">
        <v>120</v>
      </c>
      <c r="H40" s="5" t="s">
        <v>178</v>
      </c>
      <c r="I40" s="5" t="s">
        <v>179</v>
      </c>
      <c r="J40" s="5" t="s">
        <v>180</v>
      </c>
    </row>
    <row r="41" customFormat="false" ht="105" hidden="false" customHeight="true" outlineLevel="0" collapsed="false">
      <c r="A41" s="4" t="s">
        <v>181</v>
      </c>
      <c r="B41" s="5" t="s">
        <v>182</v>
      </c>
      <c r="C41" s="4" t="s">
        <v>29</v>
      </c>
      <c r="D41" s="4" t="s">
        <v>60</v>
      </c>
      <c r="E41" s="4" t="s">
        <v>86</v>
      </c>
      <c r="F41" s="4" t="s">
        <v>79</v>
      </c>
      <c r="G41" s="5" t="s">
        <v>167</v>
      </c>
      <c r="H41" s="5" t="s">
        <v>183</v>
      </c>
      <c r="I41" s="5" t="s">
        <v>184</v>
      </c>
      <c r="J41" s="5" t="s">
        <v>185</v>
      </c>
    </row>
    <row r="42" customFormat="false" ht="105" hidden="false" customHeight="true" outlineLevel="0" collapsed="false">
      <c r="A42" s="4" t="s">
        <v>186</v>
      </c>
      <c r="B42" s="5" t="s">
        <v>187</v>
      </c>
      <c r="C42" s="4" t="s">
        <v>29</v>
      </c>
      <c r="D42" s="4" t="s">
        <v>60</v>
      </c>
      <c r="E42" s="4" t="s">
        <v>86</v>
      </c>
      <c r="F42" s="4" t="s">
        <v>79</v>
      </c>
      <c r="G42" s="5" t="s">
        <v>167</v>
      </c>
      <c r="H42" s="5" t="s">
        <v>188</v>
      </c>
      <c r="I42" s="5" t="s">
        <v>189</v>
      </c>
      <c r="J42" s="5" t="s">
        <v>190</v>
      </c>
    </row>
    <row r="43" customFormat="false" ht="105" hidden="false" customHeight="true" outlineLevel="0" collapsed="false">
      <c r="A43" s="4" t="s">
        <v>191</v>
      </c>
      <c r="B43" s="5" t="s">
        <v>192</v>
      </c>
      <c r="C43" s="4" t="s">
        <v>29</v>
      </c>
      <c r="D43" s="4" t="s">
        <v>60</v>
      </c>
      <c r="E43" s="4" t="s">
        <v>86</v>
      </c>
      <c r="F43" s="4" t="s">
        <v>79</v>
      </c>
      <c r="G43" s="5" t="s">
        <v>167</v>
      </c>
      <c r="H43" s="5" t="s">
        <v>193</v>
      </c>
      <c r="I43" s="5" t="s">
        <v>194</v>
      </c>
      <c r="J43" s="5" t="s">
        <v>195</v>
      </c>
    </row>
    <row r="44" customFormat="false" ht="105" hidden="false" customHeight="true" outlineLevel="0" collapsed="false">
      <c r="A44" s="4" t="s">
        <v>196</v>
      </c>
      <c r="B44" s="5" t="s">
        <v>197</v>
      </c>
      <c r="C44" s="4" t="s">
        <v>29</v>
      </c>
      <c r="D44" s="4" t="s">
        <v>60</v>
      </c>
      <c r="E44" s="4" t="s">
        <v>107</v>
      </c>
      <c r="F44" s="4" t="s">
        <v>108</v>
      </c>
      <c r="G44" s="5" t="s">
        <v>167</v>
      </c>
      <c r="H44" s="5" t="s">
        <v>198</v>
      </c>
      <c r="I44" s="5" t="s">
        <v>199</v>
      </c>
      <c r="J44" s="5" t="s">
        <v>200</v>
      </c>
    </row>
    <row r="45" customFormat="false" ht="105" hidden="false" customHeight="true" outlineLevel="0" collapsed="false">
      <c r="A45" s="4" t="s">
        <v>201</v>
      </c>
      <c r="B45" s="5" t="s">
        <v>202</v>
      </c>
      <c r="C45" s="4" t="s">
        <v>29</v>
      </c>
      <c r="D45" s="4" t="s">
        <v>62</v>
      </c>
      <c r="E45" s="4" t="s">
        <v>78</v>
      </c>
      <c r="F45" s="4" t="s">
        <v>79</v>
      </c>
      <c r="G45" s="5" t="s">
        <v>167</v>
      </c>
      <c r="H45" s="5" t="s">
        <v>203</v>
      </c>
      <c r="I45" s="5" t="s">
        <v>204</v>
      </c>
      <c r="J45" s="5" t="s">
        <v>205</v>
      </c>
    </row>
    <row r="46" customFormat="false" ht="105" hidden="false" customHeight="true" outlineLevel="0" collapsed="false">
      <c r="A46" s="4" t="s">
        <v>206</v>
      </c>
      <c r="B46" s="5" t="s">
        <v>207</v>
      </c>
      <c r="C46" s="4" t="s">
        <v>29</v>
      </c>
      <c r="D46" s="4" t="s">
        <v>62</v>
      </c>
      <c r="E46" s="4" t="s">
        <v>78</v>
      </c>
      <c r="F46" s="4" t="s">
        <v>79</v>
      </c>
      <c r="G46" s="5" t="s">
        <v>167</v>
      </c>
      <c r="H46" s="5" t="s">
        <v>208</v>
      </c>
      <c r="I46" s="5" t="s">
        <v>209</v>
      </c>
      <c r="J46" s="5" t="s">
        <v>210</v>
      </c>
    </row>
    <row r="47" customFormat="false" ht="105" hidden="false" customHeight="true" outlineLevel="0" collapsed="false">
      <c r="A47" s="4" t="s">
        <v>211</v>
      </c>
      <c r="B47" s="5" t="s">
        <v>212</v>
      </c>
      <c r="C47" s="4" t="s">
        <v>29</v>
      </c>
      <c r="D47" s="4" t="s">
        <v>62</v>
      </c>
      <c r="E47" s="4" t="s">
        <v>78</v>
      </c>
      <c r="F47" s="4" t="s">
        <v>108</v>
      </c>
      <c r="G47" s="5" t="s">
        <v>167</v>
      </c>
      <c r="H47" s="5" t="s">
        <v>213</v>
      </c>
      <c r="I47" s="5" t="s">
        <v>214</v>
      </c>
      <c r="J47" s="5" t="s">
        <v>215</v>
      </c>
    </row>
    <row r="48" customFormat="false" ht="105" hidden="false" customHeight="true" outlineLevel="0" collapsed="false">
      <c r="A48" s="4" t="s">
        <v>216</v>
      </c>
      <c r="B48" s="5" t="s">
        <v>217</v>
      </c>
      <c r="C48" s="4" t="s">
        <v>34</v>
      </c>
      <c r="D48" s="4" t="s">
        <v>37</v>
      </c>
      <c r="E48" s="4" t="s">
        <v>78</v>
      </c>
      <c r="F48" s="4" t="s">
        <v>79</v>
      </c>
      <c r="G48" s="5" t="s">
        <v>120</v>
      </c>
      <c r="H48" s="5" t="s">
        <v>81</v>
      </c>
      <c r="I48" s="5" t="s">
        <v>218</v>
      </c>
      <c r="J48" s="5" t="s">
        <v>219</v>
      </c>
    </row>
    <row r="49" customFormat="false" ht="105" hidden="false" customHeight="true" outlineLevel="0" collapsed="false">
      <c r="A49" s="4" t="s">
        <v>220</v>
      </c>
      <c r="B49" s="5" t="s">
        <v>221</v>
      </c>
      <c r="C49" s="4" t="s">
        <v>34</v>
      </c>
      <c r="D49" s="4" t="s">
        <v>37</v>
      </c>
      <c r="E49" s="4" t="s">
        <v>78</v>
      </c>
      <c r="F49" s="4" t="s">
        <v>92</v>
      </c>
      <c r="G49" s="5" t="s">
        <v>167</v>
      </c>
      <c r="H49" s="5" t="s">
        <v>168</v>
      </c>
      <c r="I49" s="5" t="s">
        <v>222</v>
      </c>
      <c r="J49" s="5" t="s">
        <v>223</v>
      </c>
    </row>
  </sheetData>
  <mergeCells count="16">
    <mergeCell ref="A1:J1"/>
    <mergeCell ref="A2:J2"/>
    <mergeCell ref="A4:J4"/>
    <mergeCell ref="C6:J6"/>
    <mergeCell ref="C7:J7"/>
    <mergeCell ref="C8:J8"/>
    <mergeCell ref="C9:J9"/>
    <mergeCell ref="C10:J10"/>
    <mergeCell ref="C11:J11"/>
    <mergeCell ref="C12:J12"/>
    <mergeCell ref="C13:J13"/>
    <mergeCell ref="C14:J14"/>
    <mergeCell ref="C15:J15"/>
    <mergeCell ref="C16:J16"/>
    <mergeCell ref="C17:J17"/>
    <mergeCell ref="A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2"/>
  </cols>
  <sheetData>
    <row r="1" customFormat="false" ht="21.75" hidden="false" customHeight="true" outlineLevel="0" collapsed="false">
      <c r="A1" s="1" t="s">
        <v>224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225</v>
      </c>
      <c r="B2" s="2"/>
      <c r="C2" s="2"/>
      <c r="D2" s="2"/>
      <c r="E2" s="2"/>
    </row>
    <row r="4" customFormat="false" ht="19.5" hidden="false" customHeight="true" outlineLevel="0" collapsed="false">
      <c r="A4" s="6" t="s">
        <v>226</v>
      </c>
      <c r="B4" s="6"/>
      <c r="C4" s="6"/>
      <c r="D4" s="6"/>
      <c r="E4" s="6"/>
    </row>
    <row r="5" customFormat="false" ht="25.5" hidden="false" customHeight="true" outlineLevel="0" collapsed="false">
      <c r="A5" s="3" t="s">
        <v>227</v>
      </c>
      <c r="B5" s="3" t="s">
        <v>228</v>
      </c>
      <c r="C5" s="3"/>
      <c r="D5" s="3"/>
      <c r="E5" s="3"/>
    </row>
    <row r="6" customFormat="false" ht="15" hidden="false" customHeight="false" outlineLevel="0" collapsed="false">
      <c r="A6" s="7" t="s">
        <v>229</v>
      </c>
      <c r="B6" s="4" t="n">
        <f aca="false">COUNTA(RTM!$A$5:$A$10)</f>
        <v>6</v>
      </c>
    </row>
    <row r="7" customFormat="false" ht="15" hidden="false" customHeight="false" outlineLevel="0" collapsed="false">
      <c r="A7" s="7" t="s">
        <v>230</v>
      </c>
      <c r="B7" s="4" t="n">
        <f aca="false">COUNTA(TestCases!$A$7:$A$17)</f>
        <v>11</v>
      </c>
    </row>
    <row r="8" customFormat="false" ht="15" hidden="false" customHeight="false" outlineLevel="0" collapsed="false">
      <c r="A8" s="7" t="s">
        <v>231</v>
      </c>
      <c r="B8" s="4" t="n">
        <f aca="false">COUNTA(TestCases!$A$21:$A$49)</f>
        <v>29</v>
      </c>
    </row>
    <row r="10" customFormat="false" ht="19.5" hidden="false" customHeight="true" outlineLevel="0" collapsed="false">
      <c r="A10" s="6" t="s">
        <v>232</v>
      </c>
      <c r="B10" s="6"/>
      <c r="C10" s="6"/>
      <c r="D10" s="6"/>
      <c r="E10" s="6"/>
    </row>
    <row r="11" customFormat="false" ht="25.5" hidden="false" customHeight="true" outlineLevel="0" collapsed="false">
      <c r="A11" s="3" t="s">
        <v>233</v>
      </c>
      <c r="B11" s="3" t="s">
        <v>234</v>
      </c>
      <c r="C11" s="3" t="s">
        <v>78</v>
      </c>
      <c r="D11" s="3" t="s">
        <v>86</v>
      </c>
      <c r="E11" s="3" t="s">
        <v>107</v>
      </c>
    </row>
    <row r="12" customFormat="false" ht="15" hidden="false" customHeight="false" outlineLevel="0" collapsed="false">
      <c r="A12" s="5" t="s">
        <v>235</v>
      </c>
      <c r="B12" s="4" t="n">
        <f aca="false">COUNTIF(TestCases!$C$21:$C$49,"REQ-01")</f>
        <v>6</v>
      </c>
      <c r="C12" s="4" t="n">
        <f aca="false">COUNTIFS(TestCases!$C$21:$C$49,"REQ-01",TestCases!$E$21:$E$49,"Positive")</f>
        <v>1</v>
      </c>
      <c r="D12" s="4" t="n">
        <f aca="false">COUNTIFS(TestCases!$C$21:$C$49,"REQ-01",TestCases!$E$21:$E$49,"Negative")</f>
        <v>4</v>
      </c>
      <c r="E12" s="4" t="n">
        <f aca="false">COUNTIFS(TestCases!$C$21:$C$49,"REQ-01",TestCases!$E$21:$E$49,"Boundary")</f>
        <v>1</v>
      </c>
    </row>
    <row r="13" customFormat="false" ht="15" hidden="false" customHeight="false" outlineLevel="0" collapsed="false">
      <c r="A13" s="5" t="s">
        <v>236</v>
      </c>
      <c r="B13" s="4" t="n">
        <f aca="false">COUNTIF(TestCases!$C$21:$C$49,"REQ-02")</f>
        <v>2</v>
      </c>
      <c r="C13" s="4" t="n">
        <f aca="false">COUNTIFS(TestCases!$C$21:$C$49,"REQ-02",TestCases!$E$21:$E$49,"Positive")</f>
        <v>0</v>
      </c>
      <c r="D13" s="4" t="n">
        <f aca="false">COUNTIFS(TestCases!$C$21:$C$49,"REQ-02",TestCases!$E$21:$E$49,"Negative")</f>
        <v>2</v>
      </c>
      <c r="E13" s="4" t="n">
        <f aca="false">COUNTIFS(TestCases!$C$21:$C$49,"REQ-02",TestCases!$E$21:$E$49,"Boundary")</f>
        <v>0</v>
      </c>
    </row>
    <row r="14" customFormat="false" ht="15" hidden="false" customHeight="false" outlineLevel="0" collapsed="false">
      <c r="A14" s="5" t="s">
        <v>237</v>
      </c>
      <c r="B14" s="4" t="n">
        <f aca="false">COUNTIF(TestCases!$C$21:$C$49,"REQ-03")</f>
        <v>6</v>
      </c>
      <c r="C14" s="4" t="n">
        <f aca="false">COUNTIFS(TestCases!$C$21:$C$49,"REQ-03",TestCases!$E$21:$E$49,"Positive")</f>
        <v>6</v>
      </c>
      <c r="D14" s="4" t="n">
        <f aca="false">COUNTIFS(TestCases!$C$21:$C$49,"REQ-03",TestCases!$E$21:$E$49,"Negative")</f>
        <v>0</v>
      </c>
      <c r="E14" s="4" t="n">
        <f aca="false">COUNTIFS(TestCases!$C$21:$C$49,"REQ-03",TestCases!$E$21:$E$49,"Boundary")</f>
        <v>0</v>
      </c>
    </row>
    <row r="15" customFormat="false" ht="15" hidden="false" customHeight="false" outlineLevel="0" collapsed="false">
      <c r="A15" s="5" t="s">
        <v>238</v>
      </c>
      <c r="B15" s="4" t="n">
        <f aca="false">COUNTIF(TestCases!$C$21:$C$49,"REQ-04")</f>
        <v>5</v>
      </c>
      <c r="C15" s="4" t="n">
        <f aca="false">COUNTIFS(TestCases!$C$21:$C$49,"REQ-04",TestCases!$E$21:$E$49,"Positive")</f>
        <v>5</v>
      </c>
      <c r="D15" s="4" t="n">
        <f aca="false">COUNTIFS(TestCases!$C$21:$C$49,"REQ-04",TestCases!$E$21:$E$49,"Negative")</f>
        <v>0</v>
      </c>
      <c r="E15" s="4" t="n">
        <f aca="false">COUNTIFS(TestCases!$C$21:$C$49,"REQ-04",TestCases!$E$21:$E$49,"Boundary")</f>
        <v>0</v>
      </c>
    </row>
    <row r="16" customFormat="false" ht="15" hidden="false" customHeight="false" outlineLevel="0" collapsed="false">
      <c r="A16" s="5" t="s">
        <v>239</v>
      </c>
      <c r="B16" s="4" t="n">
        <f aca="false">COUNTIF(TestCases!$C$21:$C$49,"REQ-05")</f>
        <v>8</v>
      </c>
      <c r="C16" s="4" t="n">
        <f aca="false">COUNTIFS(TestCases!$C$21:$C$49,"REQ-05",TestCases!$E$21:$E$49,"Positive")</f>
        <v>3</v>
      </c>
      <c r="D16" s="4" t="n">
        <f aca="false">COUNTIFS(TestCases!$C$21:$C$49,"REQ-05",TestCases!$E$21:$E$49,"Negative")</f>
        <v>4</v>
      </c>
      <c r="E16" s="4" t="n">
        <f aca="false">COUNTIFS(TestCases!$C$21:$C$49,"REQ-05",TestCases!$E$21:$E$49,"Boundary")</f>
        <v>1</v>
      </c>
    </row>
    <row r="17" customFormat="false" ht="15" hidden="false" customHeight="false" outlineLevel="0" collapsed="false">
      <c r="A17" s="5" t="s">
        <v>240</v>
      </c>
      <c r="B17" s="4" t="n">
        <f aca="false">COUNTIF(TestCases!$C$21:$C$49,"REQ-06")</f>
        <v>2</v>
      </c>
      <c r="C17" s="4" t="n">
        <f aca="false">COUNTIFS(TestCases!$C$21:$C$49,"REQ-06",TestCases!$E$21:$E$49,"Positive")</f>
        <v>2</v>
      </c>
      <c r="D17" s="4" t="n">
        <f aca="false">COUNTIFS(TestCases!$C$21:$C$49,"REQ-06",TestCases!$E$21:$E$49,"Negative")</f>
        <v>0</v>
      </c>
      <c r="E17" s="4" t="n">
        <f aca="false">COUNTIFS(TestCases!$C$21:$C$49,"REQ-06",TestCases!$E$21:$E$49,"Boundary")</f>
        <v>0</v>
      </c>
    </row>
    <row r="18" customFormat="false" ht="15" hidden="false" customHeight="false" outlineLevel="0" collapsed="false">
      <c r="A18" s="7" t="s">
        <v>234</v>
      </c>
      <c r="B18" s="8" t="n">
        <f aca="false">SUM(B12:B17)</f>
        <v>29</v>
      </c>
      <c r="C18" s="8" t="n">
        <f aca="false">SUM(C12:C17)</f>
        <v>17</v>
      </c>
      <c r="D18" s="8" t="n">
        <f aca="false">SUM(D12:D17)</f>
        <v>10</v>
      </c>
      <c r="E18" s="8" t="n">
        <f aca="false">SUM(E12:E17)</f>
        <v>2</v>
      </c>
    </row>
    <row r="20" customFormat="false" ht="19.5" hidden="false" customHeight="true" outlineLevel="0" collapsed="false">
      <c r="A20" s="6" t="s">
        <v>241</v>
      </c>
      <c r="B20" s="6"/>
      <c r="C20" s="6"/>
      <c r="D20" s="6"/>
      <c r="E20" s="6"/>
    </row>
    <row r="21" customFormat="false" ht="25.5" hidden="false" customHeight="true" outlineLevel="0" collapsed="false">
      <c r="A21" s="3" t="s">
        <v>71</v>
      </c>
      <c r="B21" s="3" t="s">
        <v>228</v>
      </c>
      <c r="C21" s="3"/>
      <c r="D21" s="3"/>
      <c r="E21" s="3"/>
    </row>
    <row r="22" customFormat="false" ht="15" hidden="false" customHeight="false" outlineLevel="0" collapsed="false">
      <c r="A22" s="5" t="s">
        <v>79</v>
      </c>
      <c r="B22" s="4" t="n">
        <f aca="false">COUNTIF(TestCases!$F$21:$F$49,"High")</f>
        <v>14</v>
      </c>
    </row>
    <row r="23" customFormat="false" ht="15" hidden="false" customHeight="false" outlineLevel="0" collapsed="false">
      <c r="A23" s="5" t="s">
        <v>92</v>
      </c>
      <c r="B23" s="4" t="n">
        <f aca="false">COUNTIF(TestCases!$F$21:$F$49,"Medium")</f>
        <v>12</v>
      </c>
    </row>
    <row r="24" customFormat="false" ht="15" hidden="false" customHeight="false" outlineLevel="0" collapsed="false">
      <c r="A24" s="5" t="s">
        <v>108</v>
      </c>
      <c r="B24" s="4" t="n">
        <f aca="false">COUNTIF(TestCases!$F$21:$F$49,"Low")</f>
        <v>3</v>
      </c>
    </row>
  </sheetData>
  <mergeCells count="5">
    <mergeCell ref="A1:E1"/>
    <mergeCell ref="A2:E2"/>
    <mergeCell ref="A4:E4"/>
    <mergeCell ref="A10:E10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2026-10-19T08:34:59Z</dcterms:created>
  <dc:creator>openpyxl</dc:creator>
  <dc:description/>
  <dc:language>en-US</dc:language>
  <cp:lastModifiedBy/>
  <dcterms:modified xsi:type="dcterms:W3CDTF">2026-10-19T14:35:01Z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